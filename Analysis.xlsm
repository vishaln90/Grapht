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FEEC98E5-5C3B-405A-A6C8-70F03B8FC814}" xr6:coauthVersionLast="41" xr6:coauthVersionMax="41" xr10:uidLastSave="{00000000-0000-0000-0000-000000000000}"/>
  <bookViews>
    <workbookView xWindow="-108" yWindow="-108" windowWidth="23256" windowHeight="12576" activeTab="2" xr2:uid="{F339991D-8E4B-4FA1-B330-1FFC89021352}"/>
  </bookViews>
  <sheets>
    <sheet name="Sheet1" sheetId="1" r:id="rId1"/>
    <sheet name="Unilysis" sheetId="2" r:id="rId2"/>
    <sheet name="Comparison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J4" i="3" l="1"/>
  <c r="AJ5" i="3" s="1"/>
  <c r="AJ6" i="3" s="1"/>
  <c r="AJ7" i="3" s="1"/>
  <c r="AJ8" i="3" s="1"/>
  <c r="AJ9" i="3" s="1"/>
  <c r="AJ10" i="3" s="1"/>
  <c r="AJ3" i="3"/>
  <c r="AH4" i="3"/>
  <c r="AH5" i="3" s="1"/>
  <c r="AH6" i="3" s="1"/>
  <c r="AH7" i="3" s="1"/>
  <c r="AH8" i="3" s="1"/>
  <c r="AH9" i="3" s="1"/>
  <c r="AH10" i="3" s="1"/>
  <c r="AH3" i="3"/>
  <c r="AI3" i="3" s="1"/>
  <c r="AK3" i="3" l="1"/>
  <c r="AK4" i="3"/>
  <c r="AK5" i="3"/>
  <c r="AK6" i="3" l="1"/>
  <c r="AK7" i="3" l="1"/>
  <c r="AI4" i="3" l="1"/>
  <c r="AK8" i="3"/>
  <c r="AI5" i="3" l="1"/>
  <c r="AK9" i="3"/>
  <c r="AI6" i="3" l="1"/>
  <c r="AK10" i="3"/>
  <c r="AI7" i="3" l="1"/>
  <c r="AI8" i="3" l="1"/>
  <c r="AI10" i="3" l="1"/>
  <c r="AI9" i="3"/>
</calcChain>
</file>

<file path=xl/sharedStrings.xml><?xml version="1.0" encoding="utf-8"?>
<sst xmlns="http://schemas.openxmlformats.org/spreadsheetml/2006/main" count="89" uniqueCount="55">
  <si>
    <t>Select * from Conversion;</t>
  </si>
  <si>
    <t>Alphabet</t>
  </si>
  <si>
    <t>View Type</t>
  </si>
  <si>
    <t>Query</t>
  </si>
  <si>
    <t>Name</t>
  </si>
  <si>
    <t>Date of Sample</t>
  </si>
  <si>
    <t>Upper Zone word/line wise</t>
  </si>
  <si>
    <t>Word Spacing line wise</t>
  </si>
  <si>
    <t>Dashboard</t>
  </si>
  <si>
    <t>Calculation</t>
  </si>
  <si>
    <t>Left Margin (Fear of society)</t>
  </si>
  <si>
    <t>Right Margin (Risk Appetite)</t>
  </si>
  <si>
    <t>Avg. Word Space/Avg. Middle Zone Height</t>
  </si>
  <si>
    <t>Middle Zone vs. Letter</t>
  </si>
  <si>
    <t>Upper Zone / Middle Zone per character</t>
  </si>
  <si>
    <t>Avg. Left Margin and Std. Deviation</t>
  </si>
  <si>
    <t>Avg. Right Margin and std. dev</t>
  </si>
  <si>
    <t>Baseline (Lower MZ) per letter</t>
  </si>
  <si>
    <t>Avg. Middle Zone Height, Max, Min and std. Dev</t>
  </si>
  <si>
    <t>Deviation in Left Margin</t>
  </si>
  <si>
    <t>Avg. Left Margin (cm)</t>
  </si>
  <si>
    <t>Avg. Right Margin (cm)</t>
  </si>
  <si>
    <t>Deviation in Right Margin</t>
  </si>
  <si>
    <t xml:space="preserve">select line_number, min(left_mz) as 'Left_MZ', max(right_mz)-min(left_mz) as 'Right_MZ' from Conversion 
where trans_id=21 group by trans_id, line_number </t>
  </si>
  <si>
    <t>trans_id</t>
  </si>
  <si>
    <t>Left Right margin</t>
  </si>
  <si>
    <t>Word Spacing</t>
  </si>
  <si>
    <t>Line Spacing</t>
  </si>
  <si>
    <t>select C1.trans_id, C1.line_number, C1.word_number, C2.lmz -C1.rmz as WordSpace from
(select trans_id, line_number, word_number, max(right_mz) as rmz from Conversion group by trans_id, line_number, word_number) C1
inner join
(select trans_id, line_number, word_number, min(left_mz) as lmz from Conversion group by trans_id, line_number, word_number) C2 
ON C1.trans_id=C2.trans_id and C1.line_number=C2.line_number and C1.word_number+1=C2.word_number
where C1.trans_id=21 and C1.rmz is not null and C2.lmz is not null</t>
  </si>
  <si>
    <t>select C1.trans_id, C1.line_number, C2.tmz - C1.bmz as LineSpace from
(select trans_id, line_number, avg(bottom_mz) as bmz from Conversion where character_number=1 group by trans_id, line_number) C1
inner join
(select trans_id, line_number, avg(top_mz) as tmz from Conversion where character_number=1 group by trans_id, line_number) C2 
ON C1.trans_id=C2.trans_id and C1.line_number + 1 = C2.line_number 
where C1.trans_id=21</t>
  </si>
  <si>
    <t>select Conv1.trans_id, Conv1.line_number, avg_tmz, avg_tuz as 'Avg Upper Zone'
from (select trans_id, line_number, avg(top_mz) as avg_tmz from Conversion where character_group in ('A','MU-A','MB-A','TTB-A') and capital=False group by trans_id, line_number) As Conv2
left join (select trans_id, line_number, avg(top_uz) as avg_tuz from Conversion where character_group in ('MU-B','MB-B','MU-A','MB-A','TTB-A','TTB-B') and capital=False group by trans_id, line_number) As Conv1 
ON Conv1.trans_id=Conv2.trans_id and Conv1.line_number=Conv2.line_number
where avg_tuz &lt;&gt; 0 and avg_tmz &lt;&gt; 0</t>
  </si>
  <si>
    <t>Upper zone</t>
  </si>
  <si>
    <t>Lower zone</t>
  </si>
  <si>
    <t>select Conv1.trans_id, Conv1.line_number, avg_bmz, avg_blz as 'Avg Upper Zone'
from (select trans_id, line_number, avg(bottom_mz) as avg_bmz from Conversion where character_group in ('A','MU-A','MB-A','TTB-A') group by trans_id, line_number) As Conv2
left join (select trans_id, line_number, avg(bottom_lz) as avg_blz from Conversion where character_group in ('MB-B','MB-A','TTB-A','TTB-B') group by trans_id, line_number) As Conv1 
ON Conv1.trans_id=Conv2.trans_id and Conv1.line_number=Conv2.line_number
where avg_bmz &lt;&gt; 0 and avg_blz &lt;&gt; 0</t>
  </si>
  <si>
    <t>Baseline</t>
  </si>
  <si>
    <t>select Conv1.trans_id, Conv1.line_number, avg_blz - avg_bmz as 'Avg Lower Zone'
from (select trans_id, line_number, avg(bottom_mz) as avg_bmz from Conversion where character_group in ('A','MU-A','MB-A','TTB-A') group by trans_id, line_number) As Conv2
left join (select trans_id, line_number, avg(bottom_lz) as avg_blz from Conversion where character_group in ('MB-B','MB-A','TTB-A','TTB-B') group by trans_id, line_number) As Conv1 
ON Conv1.trans_id=Conv2.trans_id and Conv1.line_number=Conv2.line_number
where avg_bmz &lt;&gt; 0 and avg_blz &lt;&gt; 0</t>
  </si>
  <si>
    <t>select trans_id, line_number, word_number, avg(bottom_mz) as avg_bmz from Conversion where character_group in ('A','MU-A','MB-A','TTB-A') group by trans_id, line_number, word_number</t>
  </si>
  <si>
    <t>name</t>
  </si>
  <si>
    <t>Sanam</t>
  </si>
  <si>
    <t>Select distinct NAME.name, C.trans_id, C.line_number, BMZ.avg_bmz - TMZ.avg_tmz as middle_zone, TMZ.avg_tmz-TUZ.avg_tuz as upper_zone, BLZ.avg_blz-BMZ.avg_bmz as lower_zone from 
(((((Conversion C
INNER JOIN (select trans_id, line_number, avg(bottom_mz) as avg_bmz from Conversion where character_group in ('A','MU-A','MB-A','TTB-A') group by trans_id, line_number) BMZ on C.trans_id=BMZ.trans_id and C.line_number=BMZ.line_number)
INNER JOIN (select trans_id, line_number, avg(top_mz) as avg_tmz from Conversion where character_group in ('A','MU-A','MB-A','MB-B','TTB-A') group by trans_id, line_number) TMZ on C.trans_id=TMZ.trans_id and C.line_number=TMZ.line_number)
INNER JOIN (select trans_id, line_number, avg(top_uz) as avg_tuz from Conversion where character_group in ('MU-A','MU-B','TTB-A','TTB-B') group by trans_id, line_number) TUZ on C.trans_id=TUZ.trans_id and C.line_number=TUZ.line_number)
INNER JOIN (select trans_id, line_number, avg(bottom_lz) as avg_blz from Conversion where character_group in ('MB-A','MB-A','TTB-A','TTB-B') group by trans_id, line_number) BLZ on C.trans_id=BLZ.trans_id and C.line_number=BLZ.line_number)
INNER JOIN (select A.trans_id, B.name as name from Transaction A inner join (select name, id from subject) B on A.subject_id=B.id) NAME on C.trans_id=NAME.trans_id)</t>
  </si>
  <si>
    <t>upper_relative</t>
  </si>
  <si>
    <t>lower_relative</t>
  </si>
  <si>
    <t>select trans_id, name, upper_zone1/middle_zone1 as upper_relative, lower_zone1/middle_zone1  as lower_relative from (select name, trans_id, avg(middle_zone) as middle_zone1, avg(lower_zone) as lower_zone1, avg(upper_zone) as upper_zone1 from (Select distinct NAME.name as name, C.trans_id, C.line_number, BMZ.avg_bmz - TMZ.avg_tmz as middle_zone, TMZ.avg_tmz-TUZ.avg_tuz as upper_zone, BLZ.avg_blz-BMZ.avg_bmz as lower_zone from 
(((((Conversion C
INNER JOIN (select trans_id, line_number, avg(bottom_mz) as avg_bmz from Conversion where character_group in ('A','MU-A','MB-A','TTB-A') group by trans_id, line_number) BMZ on C.trans_id=BMZ.trans_id and C.line_number=BMZ.line_number)
INNER JOIN (select trans_id, line_number, avg(top_mz) as avg_tmz from Conversion where character_group in ('A','MU-A','MB-A','MB-B','TTB-A') group by trans_id, line_number) TMZ on C.trans_id=TMZ.trans_id and C.line_number=TMZ.line_number)
INNER JOIN (select trans_id, line_number, avg(top_uz) as avg_tuz from Conversion where character_group in ('MU-A','MU-B','TTB-A','TTB-B') group by trans_id, line_number) TUZ on C.trans_id=TUZ.trans_id and C.line_number=TUZ.line_number)
INNER JOIN (select trans_id, line_number, avg(bottom_lz) as avg_blz from Conversion where character_group in ('MB-A','MB-A','TTB-A','TTB-B') group by trans_id, line_number) BLZ on C.trans_id=BLZ.trans_id and C.line_number=BLZ.line_number)
INNER JOIN (select A.trans_id, B.name as name from Transaction A inner join (select name, id from subject) B on A.subject_id=B.id) NAME on C.trans_id=NAME.trans_id))
group by trans_id, name)</t>
  </si>
  <si>
    <t>ref_line</t>
  </si>
  <si>
    <t>Upper vs. Lower</t>
  </si>
  <si>
    <t>Wordspace</t>
  </si>
  <si>
    <t xml:space="preserve">select distinct C.trans_id, avg(avg_tmz), avg(avg_bmz), avg(WS.Wordspace) from 
((((Conversion C
INNER JOIN (select trans_id, line_number, avg(bottom_mz) as avg_bmz from Conversion where character_group in ('A','MU-A','MB-A','TTB-A') group by trans_id, line_number) BMZ on C.trans_id=BMZ.trans_id and C.line_number=BMZ.line_number)
INNER JOIN (select trans_id, line_number, avg(top_mz) as avg_tmz from Conversion where character_group in ('A','MU-A','MB-A','MB-B','TTB-A') group by trans_id, line_number) TMZ on C.trans_id=TMZ.trans_id and C.line_number=TMZ.line_number)
INNER JOIN (select A.trans_id, B.name as name from Transaction A inner join (select name, id from subject) B on A.subject_id=B.id) NAME on C.trans_id=NAME.trans_id)
INNER JOIN (select C1.trans_id, C1.line_number, avg(C2.lmz -C1.rmz) as WordSpace from
(select trans_id, line_number, word_number, max(right_mz) as rmz from Conversion group by trans_id, line_number, word_number) C1
inner join
(select trans_id, line_number, word_number, min(left_mz) as lmz from Conversion group by trans_id, line_number, word_number) C2 
ON C1.trans_id=C2.trans_id and C1.line_number=C2.line_number and C1.word_number+1=C2.word_number
where C1.rmz is not null and C2.lmz is not null group by C1.trans_id, C1.line_number) WS On WS.trans_id=C.trans_id and WS.line_number= C.line_number) group by C.trans_id
</t>
  </si>
  <si>
    <t xml:space="preserve">select distinct C.trans_id, NAME.name, avg_bmz - avg_tmz as [Middle Zone], WS.Wordspace from 
((((Conversion C
INNER JOIN (select trans_id, avg(bottom_mz) as avg_bmz from Conversion where character_group in ('A','MU-A','MB-A','TTB-A') group by trans_id) BMZ on C.trans_id=BMZ.trans_id )
INNER JOIN (select trans_id, avg(top_mz) as avg_tmz from Conversion where character_group in ('A','MU-A','MB-A','MB-B','TTB-A') group by trans_id) TMZ on C.trans_id=TMZ.trans_id)
INNER JOIN (select A.trans_id, B.name as name from Transaction A inner join (select name, id from subject) B on A.subject_id=B.id) NAME on C.trans_id=NAME.trans_id)
INNER JOIN (select trans_id, avg(WordSpace1) as WordSpace from (select C1.trans_id, C1.line_number, avg(C2.lmz -C1.rmz) as WordSpace1 from
(select trans_id, line_number, word_number, max(right_mz) as rmz from Conversion group by trans_id, line_number, word_number) C1
inner join
(select trans_id, line_number, word_number, min(left_mz) as lmz from Conversion group by trans_id, line_number, word_number) C2 
ON C1.trans_id=C2.trans_id and C1.line_number=C2.line_number and C1.word_number+1=C2.word_number
where C1.rmz is not null and C2.lmz is not null group by C1.trans_id, C1.line_number) group by trans_id) WS On WS.trans_id=C.trans_id )
</t>
  </si>
  <si>
    <t>Chirag</t>
  </si>
  <si>
    <t>Vishal</t>
  </si>
  <si>
    <t>Khushboo</t>
  </si>
  <si>
    <t>select B.trans_id,B.line_number,avg_bmz, avg_tmz from
(select trans_id, line_number, avg(bottom_mz) as avg_bmz from Conversion where character_group in ('A','MU-A','MB-A','TTB-A') group by trans_id, line_number) B
INNER JOIN (select trans_id, line_number, avg(top_mz) as avg_tmz from Conversion where character_group in ('MU-A','MB-A','MB-B','TTB-A') group by trans_id, line_number) T on B.trans_id=T.trans_id and B.line_number=T.line_number</t>
  </si>
  <si>
    <t>MiddleZone</t>
  </si>
  <si>
    <t>select B.trans_id, avg(avg_bmz-avg_tmz) as MiddleZone from
(select trans_id, line_number, Round(avg(bottom_mz),3) as avg_bmz from Conversion where character_group in ('A','MU-A','MB-A','TTB-A') group by trans_id, line_number) B
INNER JOIN (select trans_id, line_number, Round(avg(top_mz),3) as avg_tmz from Conversion where character_group in ('MU-A','MB-A','MB-B','TTB-A') group by trans_id, line_number) T on B.trans_id=T.trans_id and B.line_number=T.line_number
group by B.trans_id</t>
  </si>
  <si>
    <t>select distinct C.trans_id, NAME.name, MiddleZone, Wordspace from 
(((select B.trans_id, avg(avg_bmz-avg_tmz) as MiddleZone from
(select trans_id, line_number, Round(avg(bottom_mz),3) as avg_bmz from Conversion where character_group in ('A','MU-A','MB-A','TTB-A') group by trans_id, line_number) B
inner join (select trans_id, line_number, Round(avg(top_mz),3) as avg_tmz from Conversion where character_group in ('MU-A','MB-A','MB-B','TTB-A') group by trans_id, line_number) T on B.trans_id=T.trans_id and B.line_number=T.line_number
group by B.trans_id) C
INNER JOIN (select trans_id, avg(WordSpace1) as WordSpace from (select C1.trans_id, C1.line_number, avg(C2.lmz -C1.rmz) as WordSpace1 from
(select trans_id, line_number, word_number, max(right_mz) as rmz from Conversion group by trans_id, line_number, word_number) C1
inner join
(select trans_id, line_number, word_number, min(left_mz) as lmz from Conversion group by trans_id, line_number, word_number) C2 
ON C1.trans_id=C2.trans_id and C1.line_number=C2.line_number and C1.word_number+1=C2.word_number
where C1.rmz is not null and C2.lmz is not null group by C1.trans_id, C1.line_number) group by trans_id) WS On WS.trans_id=C.trans_id)
INNER JOIN (select A.trans_id, B.name as name from Transaction A inner join (select name, id from subject) B on A.subject_id=B.id) NAME on C.trans_id=NAME.trans_id)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</si>
</sst>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/>
    <xf numFmtId="14" fontId="0" fillId="0" borderId="0" xfId="0" applyNumberFormat="1"/>
    <xf numFmtId="0" fontId="0" fillId="3" borderId="1" xfId="0" applyFill="1" applyBorder="1"/>
    <xf numFmtId="0" fontId="1" fillId="3" borderId="1" xfId="0" applyFont="1" applyFill="1" applyBorder="1"/>
    <xf numFmtId="0" fontId="0" fillId="0" borderId="1" xfId="0" applyBorder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4" borderId="0" xfId="0" applyFill="1"/>
    <xf numFmtId="0" fontId="0" fillId="0" borderId="1" xfId="0" applyBorder="1" applyAlignment="1">
      <alignment horizontal="left" vertical="top" wrapText="1"/>
    </xf>
    <xf numFmtId="0" fontId="0" fillId="0" borderId="1" xfId="0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Upper/Mid</a:t>
            </a:r>
            <a:r>
              <a:rPr lang="en-US" baseline="0"/>
              <a:t> vs. Lower/Mid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'Relative Zone'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E88F3B8-3248-45A4-B319-9D1B7D30E3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0F-4163-BA71-7B331E5682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FAF76CB-8DC3-42E4-8581-81FCC5B30A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0F-4163-BA71-7B331E5682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37D1105-73CD-4A4A-81E2-7F5F259759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0F-4163-BA71-7B331E5682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AA27F91-BA77-449D-845E-07804439C4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0F-4163-BA71-7B331E5682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4-5E0F-4163-BA71-7B331E5682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5-5E0F-4163-BA71-7B331E5682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6-5E0F-4163-BA71-7B331E5682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7-5E0F-4163-BA71-7B331E5682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8-5E0F-4163-BA71-7B331E5682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Comparison!$Z$2:$Z$10</c:f>
              <c:numCache>
                <c:formatCode>General</c:formatCode>
                <c:ptCount val="9"/>
                <c:pt idx="0">
                  <c:v>2.1006437365503268</c:v>
                </c:pt>
                <c:pt idx="1">
                  <c:v>1.639698354009687</c:v>
                </c:pt>
                <c:pt idx="2">
                  <c:v>3.6193869093285618</c:v>
                </c:pt>
                <c:pt idx="3">
                  <c:v>0.93158792038305738</c:v>
                </c:pt>
              </c:numCache>
            </c:numRef>
          </c:xVal>
          <c:yVal>
            <c:numRef>
              <c:f>Comparison!$Y$2:$Y$10</c:f>
              <c:numCache>
                <c:formatCode>General</c:formatCode>
                <c:ptCount val="9"/>
                <c:pt idx="0">
                  <c:v>0.42787170953911191</c:v>
                </c:pt>
                <c:pt idx="1">
                  <c:v>0.93030342539497446</c:v>
                </c:pt>
                <c:pt idx="2">
                  <c:v>0.69974791856904217</c:v>
                </c:pt>
                <c:pt idx="3">
                  <c:v>0.45653337795177906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Comparison!$X$2:$X$11</c15:f>
                <c15:dlblRangeCache>
                  <c:ptCount val="10"/>
                  <c:pt idx="0">
                    <c:v>Chirag</c:v>
                  </c:pt>
                  <c:pt idx="1">
                    <c:v>Vishal</c:v>
                  </c:pt>
                  <c:pt idx="2">
                    <c:v>Khushboo</c:v>
                  </c:pt>
                  <c:pt idx="3">
                    <c:v>Sanam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3-5E0F-4163-BA71-7B331E5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72991"/>
        <c:axId val="97771743"/>
      </c:scatterChart>
      <c:scatterChart>
        <c:scatterStyle val="smoothMarker"/>
        <c:varyColors val="0"/>
        <c:ser>
          <c:idx val="1"/>
          <c:order val="1"/>
          <c:tx>
            <c:v>'Reference Line'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Comparison!$AA$2:$AA$10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xVal>
          <c:yVal>
            <c:numRef>
              <c:f>Comparison!$AB$2:$AB$10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4-5E0F-4163-BA71-7B331E5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79231"/>
        <c:axId val="97777151"/>
      </c:scatterChart>
      <c:valAx>
        <c:axId val="97771743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2991"/>
        <c:crossBetween val="midCat"/>
      </c:valAx>
      <c:valAx>
        <c:axId val="97772991"/>
        <c:scaling>
          <c:orientation val="minMax"/>
          <c:max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71743"/>
        <c:crossBetween val="midCat"/>
      </c:valAx>
      <c:valAx>
        <c:axId val="97777151"/>
        <c:scaling>
          <c:orientation val="minMax"/>
          <c:max val="4"/>
        </c:scaling>
        <c:delete val="1"/>
        <c:axPos val="r"/>
        <c:numFmt formatCode="General" sourceLinked="1"/>
        <c:majorTickMark val="out"/>
        <c:minorTickMark val="none"/>
        <c:tickLblPos val="nextTo"/>
        <c:crossAx val="97779231"/>
        <c:crosses val="max"/>
        <c:crossBetween val="midCat"/>
      </c:valAx>
      <c:valAx>
        <c:axId val="977792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7777151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Word</a:t>
            </a:r>
            <a:r>
              <a:rPr lang="en-US" baseline="0"/>
              <a:t> Spacing vs. Middle Zone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Comparison!$AG$1</c:f>
              <c:strCache>
                <c:ptCount val="1"/>
                <c:pt idx="0">
                  <c:v>Wordspace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92B521-7B36-4B65-9BFE-1F9DA613A2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9D4-4C28-B155-68C488567089}"/>
                </c:ext>
              </c:extLst>
            </c:dLbl>
            <c:dLbl>
              <c:idx val="1"/>
              <c:layout>
                <c:manualLayout>
                  <c:x val="-2.4013779527559106E-2"/>
                  <c:y val="0"/>
                </c:manualLayout>
              </c:layout>
              <c:tx>
                <c:rich>
                  <a:bodyPr/>
                  <a:lstStyle/>
                  <a:p>
                    <a:fld id="{BA3598B7-46F7-4D26-A55E-ED7861D4EB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512489063867018"/>
                      <c:h val="0.11560185185185186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9D4-4C28-B155-68C4885670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5C2B8F6-1D6B-44D2-90D4-EA4A3A5B2B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9D4-4C28-B155-68C48856708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6E209F-BE66-4602-BBF8-E5ACA3285B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9D4-4C28-B155-68C48856708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6-B9D4-4C28-B155-68C48856708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7-B9D4-4C28-B155-68C48856708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8-B9D4-4C28-B155-68C48856708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9-B9D4-4C28-B155-68C48856708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</c:ext>
                <c:ext xmlns:c16="http://schemas.microsoft.com/office/drawing/2014/chart" uri="{C3380CC4-5D6E-409C-BE32-E72D297353CC}">
                  <c16:uniqueId val="{0000000A-B9D4-4C28-B155-68C4885670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Comparison!$AF$2:$AF$10</c:f>
              <c:numCache>
                <c:formatCode>General</c:formatCode>
                <c:ptCount val="9"/>
                <c:pt idx="0">
                  <c:v>0.2354</c:v>
                </c:pt>
                <c:pt idx="1">
                  <c:v>0.24266666666666667</c:v>
                </c:pt>
                <c:pt idx="2">
                  <c:v>0.1968</c:v>
                </c:pt>
                <c:pt idx="3">
                  <c:v>0.21124999999999999</c:v>
                </c:pt>
              </c:numCache>
            </c:numRef>
          </c:xVal>
          <c:yVal>
            <c:numRef>
              <c:f>Comparison!$AG$2:$AG$10</c:f>
              <c:numCache>
                <c:formatCode>General</c:formatCode>
                <c:ptCount val="9"/>
                <c:pt idx="0">
                  <c:v>1.0900000000000001</c:v>
                </c:pt>
                <c:pt idx="1">
                  <c:v>0.39</c:v>
                </c:pt>
                <c:pt idx="2">
                  <c:v>0.89</c:v>
                </c:pt>
                <c:pt idx="3">
                  <c:v>0.44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Comparison!$AE$2:$AE$10</c15:f>
                <c15:dlblRangeCache>
                  <c:ptCount val="9"/>
                  <c:pt idx="0">
                    <c:v>Chirag</c:v>
                  </c:pt>
                  <c:pt idx="1">
                    <c:v>Vishal</c:v>
                  </c:pt>
                  <c:pt idx="2">
                    <c:v>Khushboo</c:v>
                  </c:pt>
                  <c:pt idx="3">
                    <c:v>Sanam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9D4-4C28-B155-68C48856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49151"/>
        <c:axId val="277857679"/>
      </c:scatterChart>
      <c:scatterChart>
        <c:scatterStyle val="smoothMarker"/>
        <c:varyColors val="0"/>
        <c:ser>
          <c:idx val="1"/>
          <c:order val="1"/>
          <c:tx>
            <c:v>WideSpace Reference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Comparison!$AH$2:$AH$10</c:f>
              <c:numCache>
                <c:formatCode>General</c:formatCode>
                <c:ptCount val="9"/>
                <c:pt idx="0">
                  <c:v>0</c:v>
                </c:pt>
                <c:pt idx="1">
                  <c:v>0.13</c:v>
                </c:pt>
                <c:pt idx="2">
                  <c:v>0.26</c:v>
                </c:pt>
                <c:pt idx="3">
                  <c:v>0.39</c:v>
                </c:pt>
                <c:pt idx="4">
                  <c:v>0.52</c:v>
                </c:pt>
                <c:pt idx="5">
                  <c:v>0.65</c:v>
                </c:pt>
                <c:pt idx="6">
                  <c:v>0.78</c:v>
                </c:pt>
                <c:pt idx="7">
                  <c:v>0.91</c:v>
                </c:pt>
                <c:pt idx="8">
                  <c:v>1.04</c:v>
                </c:pt>
              </c:numCache>
            </c:numRef>
          </c:xVal>
          <c:yVal>
            <c:numRef>
              <c:f>Comparison!$AI$2:$AI$10</c:f>
              <c:numCache>
                <c:formatCode>General</c:formatCode>
                <c:ptCount val="9"/>
                <c:pt idx="0">
                  <c:v>0</c:v>
                </c:pt>
                <c:pt idx="1">
                  <c:v>0.26</c:v>
                </c:pt>
                <c:pt idx="2">
                  <c:v>0.52</c:v>
                </c:pt>
                <c:pt idx="3">
                  <c:v>0.78</c:v>
                </c:pt>
                <c:pt idx="4">
                  <c:v>1.04</c:v>
                </c:pt>
                <c:pt idx="5">
                  <c:v>1.3</c:v>
                </c:pt>
                <c:pt idx="6">
                  <c:v>1.56</c:v>
                </c:pt>
                <c:pt idx="7">
                  <c:v>1.82</c:v>
                </c:pt>
                <c:pt idx="8">
                  <c:v>2.08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D4-4C28-B155-68C488567089}"/>
            </c:ext>
          </c:extLst>
        </c:ser>
        <c:ser>
          <c:idx val="2"/>
          <c:order val="2"/>
          <c:tx>
            <c:v>VeryWide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Comparison!$AJ$2:$AJ$10</c:f>
              <c:numCache>
                <c:formatCode>General</c:formatCode>
                <c:ptCount val="9"/>
                <c:pt idx="0">
                  <c:v>0</c:v>
                </c:pt>
                <c:pt idx="1">
                  <c:v>0.125</c:v>
                </c:pt>
                <c:pt idx="2">
                  <c:v>0.25</c:v>
                </c:pt>
                <c:pt idx="3">
                  <c:v>0.375</c:v>
                </c:pt>
                <c:pt idx="4">
                  <c:v>0.5</c:v>
                </c:pt>
                <c:pt idx="5">
                  <c:v>0.625</c:v>
                </c:pt>
                <c:pt idx="6">
                  <c:v>0.75</c:v>
                </c:pt>
                <c:pt idx="7">
                  <c:v>0.875</c:v>
                </c:pt>
                <c:pt idx="8">
                  <c:v>1</c:v>
                </c:pt>
              </c:numCache>
            </c:numRef>
          </c:xVal>
          <c:yVal>
            <c:numRef>
              <c:f>Comparison!$AK$2:$AK$10</c:f>
              <c:numCache>
                <c:formatCode>General</c:formatCode>
                <c:ptCount val="9"/>
                <c:pt idx="0">
                  <c:v>0</c:v>
                </c:pt>
                <c:pt idx="1">
                  <c:v>0.375</c:v>
                </c:pt>
                <c:pt idx="2">
                  <c:v>0.75</c:v>
                </c:pt>
                <c:pt idx="3">
                  <c:v>1.125</c:v>
                </c:pt>
                <c:pt idx="4">
                  <c:v>1.5</c:v>
                </c:pt>
                <c:pt idx="5">
                  <c:v>1.875</c:v>
                </c:pt>
                <c:pt idx="6">
                  <c:v>2.25</c:v>
                </c:pt>
                <c:pt idx="7">
                  <c:v>2.625</c:v>
                </c:pt>
                <c:pt idx="8">
                  <c:v>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9D4-4C28-B155-68C488567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49151"/>
        <c:axId val="277857679"/>
      </c:scatterChart>
      <c:valAx>
        <c:axId val="268949151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857679"/>
        <c:crosses val="autoZero"/>
        <c:crossBetween val="midCat"/>
      </c:valAx>
      <c:valAx>
        <c:axId val="2778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89491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401053</xdr:colOff>
      <xdr:row>15</xdr:row>
      <xdr:rowOff>128337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B62782-BC88-4A6C-BC18-397094B6B2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116304</xdr:rowOff>
    </xdr:from>
    <xdr:to>
      <xdr:col>8</xdr:col>
      <xdr:colOff>401052</xdr:colOff>
      <xdr:row>32</xdr:row>
      <xdr:rowOff>112293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BE2418C-C56E-42EA-B177-3FEE690B6B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3898-EBDC-46C6-A41F-67B0534271DC}">
  <sheetPr codeName="Sheet1"/>
  <dimension ref="A1:I38"/>
  <sheetViews>
    <sheetView topLeftCell="F2" zoomScale="78" zoomScaleNormal="25" workbookViewId="0">
      <selection activeCell="C15" sqref="C15"/>
    </sheetView>
  </sheetViews>
  <sheetFormatPr defaultRowHeight="14.4" x14ac:dyDescent="0.3"/>
  <cols>
    <col min="1" max="2" width="20.21875" customWidth="1"/>
    <col min="3" max="3" width="47.21875" customWidth="1"/>
    <col min="4" max="4" width="15.5546875" bestFit="1" customWidth="1"/>
    <col min="6" max="6" width="7.5546875" bestFit="1" customWidth="1"/>
    <col min="7" max="7" width="6.109375" bestFit="1" customWidth="1"/>
    <col min="8" max="8" width="10.5546875" bestFit="1" customWidth="1"/>
    <col min="9" max="10" width="10.21875" bestFit="1" customWidth="1"/>
    <col min="11" max="11" width="11.109375" bestFit="1" customWidth="1"/>
    <col min="12" max="12" width="12" bestFit="1" customWidth="1"/>
    <col min="13" max="13" width="10.88671875" bestFit="1" customWidth="1"/>
    <col min="14" max="14" width="7.44140625" bestFit="1" customWidth="1"/>
    <col min="15" max="15" width="8.88671875" bestFit="1" customWidth="1"/>
    <col min="16" max="16" width="7.88671875" bestFit="1" customWidth="1"/>
    <col min="17" max="17" width="10.88671875" bestFit="1" customWidth="1"/>
    <col min="18" max="18" width="7.77734375" bestFit="1" customWidth="1"/>
    <col min="19" max="19" width="9.109375" bestFit="1" customWidth="1"/>
    <col min="20" max="20" width="7.44140625" bestFit="1" customWidth="1"/>
    <col min="21" max="21" width="10" bestFit="1" customWidth="1"/>
    <col min="22" max="22" width="5" bestFit="1" customWidth="1"/>
    <col min="23" max="23" width="5.5546875" bestFit="1" customWidth="1"/>
    <col min="24" max="32" width="9.77734375" bestFit="1" customWidth="1"/>
    <col min="33" max="33" width="9.21875" bestFit="1" customWidth="1"/>
  </cols>
  <sheetData>
    <row r="1" spans="1:9" x14ac:dyDescent="0.3">
      <c r="A1" t="s">
        <v>2</v>
      </c>
      <c r="B1" t="s">
        <v>1</v>
      </c>
      <c r="C1" t="s">
        <v>3</v>
      </c>
      <c r="F1" s="9" t="s">
        <v>24</v>
      </c>
      <c r="G1" s="9" t="s">
        <v>37</v>
      </c>
      <c r="H1" s="9" t="s">
        <v>52</v>
      </c>
      <c r="I1" s="9" t="s">
        <v>45</v>
      </c>
    </row>
    <row r="2" spans="1:9" x14ac:dyDescent="0.3">
      <c r="C2" t="s">
        <v>0</v>
      </c>
      <c r="F2">
        <v>20</v>
      </c>
      <c r="G2" t="s">
        <v>48</v>
      </c>
      <c r="H2">
        <v>0.2354</v>
      </c>
      <c r="I2">
        <v>1.0900000000000001</v>
      </c>
    </row>
    <row r="3" spans="1:9" ht="33" customHeight="1" x14ac:dyDescent="0.3">
      <c r="C3" s="7" t="s">
        <v>35</v>
      </c>
    </row>
    <row r="4" spans="1:9" ht="95.4" customHeight="1" x14ac:dyDescent="0.3">
      <c r="C4" s="7" t="s">
        <v>36</v>
      </c>
    </row>
    <row r="5" spans="1:9" ht="21.6" customHeight="1" x14ac:dyDescent="0.3">
      <c r="C5" s="7" t="s">
        <v>39</v>
      </c>
    </row>
    <row r="6" spans="1:9" ht="21.6" customHeight="1" x14ac:dyDescent="0.3">
      <c r="C6" s="7"/>
    </row>
    <row r="7" spans="1:9" ht="21.6" customHeight="1" x14ac:dyDescent="0.3">
      <c r="C7" s="7"/>
    </row>
    <row r="8" spans="1:9" ht="21.6" customHeight="1" x14ac:dyDescent="0.3">
      <c r="C8" s="8"/>
    </row>
    <row r="10" spans="1:9" ht="79.2" customHeight="1" x14ac:dyDescent="0.3">
      <c r="C10" s="7" t="s">
        <v>42</v>
      </c>
    </row>
    <row r="11" spans="1:9" ht="79.2" customHeight="1" x14ac:dyDescent="0.3">
      <c r="C11" s="7" t="s">
        <v>46</v>
      </c>
    </row>
    <row r="12" spans="1:9" ht="409.6" x14ac:dyDescent="0.3">
      <c r="C12" s="7" t="s">
        <v>47</v>
      </c>
    </row>
    <row r="13" spans="1:9" ht="158.4" x14ac:dyDescent="0.3">
      <c r="C13" s="7" t="s">
        <v>51</v>
      </c>
    </row>
    <row r="14" spans="1:9" ht="187.2" x14ac:dyDescent="0.3">
      <c r="C14" s="1" t="s">
        <v>53</v>
      </c>
    </row>
    <row r="15" spans="1:9" ht="409.6" x14ac:dyDescent="0.3">
      <c r="C15" s="7" t="s">
        <v>54</v>
      </c>
    </row>
    <row r="31" spans="2:3" x14ac:dyDescent="0.3">
      <c r="B31" s="2" t="s">
        <v>8</v>
      </c>
      <c r="C31" s="2" t="s">
        <v>3</v>
      </c>
    </row>
    <row r="32" spans="2:3" ht="40.799999999999997" customHeight="1" x14ac:dyDescent="0.3">
      <c r="B32" s="6" t="s">
        <v>25</v>
      </c>
      <c r="C32" s="10" t="s">
        <v>23</v>
      </c>
    </row>
    <row r="33" spans="2:3" ht="40.799999999999997" customHeight="1" x14ac:dyDescent="0.3">
      <c r="B33" s="6" t="s">
        <v>26</v>
      </c>
      <c r="C33" s="10" t="s">
        <v>28</v>
      </c>
    </row>
    <row r="34" spans="2:3" ht="40.799999999999997" customHeight="1" x14ac:dyDescent="0.3">
      <c r="B34" s="6" t="s">
        <v>27</v>
      </c>
      <c r="C34" s="10" t="s">
        <v>29</v>
      </c>
    </row>
    <row r="35" spans="2:3" ht="40.799999999999997" customHeight="1" x14ac:dyDescent="0.3">
      <c r="B35" s="6" t="s">
        <v>31</v>
      </c>
      <c r="C35" s="10" t="s">
        <v>30</v>
      </c>
    </row>
    <row r="36" spans="2:3" ht="40.799999999999997" customHeight="1" x14ac:dyDescent="0.3">
      <c r="B36" s="6" t="s">
        <v>32</v>
      </c>
      <c r="C36" s="10" t="s">
        <v>33</v>
      </c>
    </row>
    <row r="37" spans="2:3" ht="40.799999999999997" customHeight="1" x14ac:dyDescent="0.3">
      <c r="B37" s="6" t="s">
        <v>34</v>
      </c>
      <c r="C37" s="10"/>
    </row>
    <row r="38" spans="2:3" ht="40.799999999999997" customHeight="1" x14ac:dyDescent="0.3"/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9628B6-1645-4C16-9942-B393657722B0}">
  <sheetPr codeName="Sheet2"/>
  <dimension ref="A1:N22"/>
  <sheetViews>
    <sheetView topLeftCell="C1" zoomScale="96" workbookViewId="0">
      <selection activeCell="O18" sqref="O18"/>
    </sheetView>
  </sheetViews>
  <sheetFormatPr defaultRowHeight="14.4" x14ac:dyDescent="0.3"/>
  <cols>
    <col min="1" max="1" width="40.21875" bestFit="1" customWidth="1"/>
    <col min="2" max="2" width="34.109375" bestFit="1" customWidth="1"/>
    <col min="3" max="3" width="8.77734375" customWidth="1"/>
    <col min="4" max="4" width="20.6640625" bestFit="1" customWidth="1"/>
    <col min="5" max="9" width="8.77734375" customWidth="1"/>
    <col min="10" max="10" width="21.6640625" bestFit="1" customWidth="1"/>
    <col min="11" max="12" width="8.77734375" customWidth="1"/>
    <col min="13" max="13" width="15.5546875" bestFit="1" customWidth="1"/>
    <col min="14" max="14" width="48.21875" customWidth="1"/>
  </cols>
  <sheetData>
    <row r="1" spans="1:14" x14ac:dyDescent="0.3">
      <c r="A1" s="2" t="s">
        <v>4</v>
      </c>
      <c r="B1" s="2" t="s">
        <v>5</v>
      </c>
    </row>
    <row r="2" spans="1:14" ht="43.2" customHeight="1" x14ac:dyDescent="0.3">
      <c r="D2" s="4" t="s">
        <v>20</v>
      </c>
      <c r="J2" s="4" t="s">
        <v>21</v>
      </c>
    </row>
    <row r="3" spans="1:14" x14ac:dyDescent="0.3">
      <c r="B3" s="3"/>
      <c r="D3" s="6"/>
      <c r="J3" s="6"/>
    </row>
    <row r="5" spans="1:14" x14ac:dyDescent="0.3">
      <c r="D5" s="4" t="s">
        <v>19</v>
      </c>
      <c r="J5" s="4" t="s">
        <v>22</v>
      </c>
    </row>
    <row r="6" spans="1:14" x14ac:dyDescent="0.3">
      <c r="D6" s="6"/>
      <c r="J6" s="6"/>
    </row>
    <row r="8" spans="1:14" x14ac:dyDescent="0.3">
      <c r="M8" s="2" t="s">
        <v>8</v>
      </c>
      <c r="N8" s="2" t="s">
        <v>3</v>
      </c>
    </row>
    <row r="9" spans="1:14" ht="16.2" customHeight="1" x14ac:dyDescent="0.3">
      <c r="M9" s="6" t="s">
        <v>25</v>
      </c>
      <c r="N9" s="10" t="s">
        <v>23</v>
      </c>
    </row>
    <row r="10" spans="1:14" ht="16.2" customHeight="1" x14ac:dyDescent="0.3">
      <c r="M10" s="6" t="s">
        <v>26</v>
      </c>
      <c r="N10" s="10" t="s">
        <v>28</v>
      </c>
    </row>
    <row r="11" spans="1:14" ht="16.2" customHeight="1" x14ac:dyDescent="0.3">
      <c r="M11" s="6" t="s">
        <v>27</v>
      </c>
      <c r="N11" s="10" t="s">
        <v>29</v>
      </c>
    </row>
    <row r="12" spans="1:14" ht="17.399999999999999" customHeight="1" x14ac:dyDescent="0.3">
      <c r="A12" s="5" t="s">
        <v>9</v>
      </c>
      <c r="B12" s="5" t="s">
        <v>8</v>
      </c>
      <c r="M12" s="6" t="s">
        <v>31</v>
      </c>
      <c r="N12" s="10" t="s">
        <v>30</v>
      </c>
    </row>
    <row r="13" spans="1:14" ht="17.399999999999999" customHeight="1" x14ac:dyDescent="0.3">
      <c r="A13" s="6" t="s">
        <v>15</v>
      </c>
      <c r="B13" s="6" t="s">
        <v>10</v>
      </c>
      <c r="M13" s="6" t="s">
        <v>32</v>
      </c>
      <c r="N13" s="10" t="s">
        <v>33</v>
      </c>
    </row>
    <row r="14" spans="1:14" x14ac:dyDescent="0.3">
      <c r="A14" s="6" t="s">
        <v>16</v>
      </c>
      <c r="B14" s="6" t="s">
        <v>11</v>
      </c>
      <c r="M14" s="6" t="s">
        <v>34</v>
      </c>
      <c r="N14" s="10"/>
    </row>
    <row r="15" spans="1:14" x14ac:dyDescent="0.3">
      <c r="A15" s="6" t="s">
        <v>12</v>
      </c>
      <c r="B15" s="6" t="s">
        <v>7</v>
      </c>
    </row>
    <row r="16" spans="1:14" x14ac:dyDescent="0.3">
      <c r="A16" s="6" t="s">
        <v>18</v>
      </c>
      <c r="B16" s="6" t="s">
        <v>13</v>
      </c>
    </row>
    <row r="17" spans="1:2" x14ac:dyDescent="0.3">
      <c r="B17" s="6" t="s">
        <v>14</v>
      </c>
    </row>
    <row r="18" spans="1:2" x14ac:dyDescent="0.3">
      <c r="A18" s="6"/>
      <c r="B18" s="6" t="s">
        <v>17</v>
      </c>
    </row>
    <row r="19" spans="1:2" x14ac:dyDescent="0.3">
      <c r="A19" s="6"/>
      <c r="B19" s="6" t="s">
        <v>6</v>
      </c>
    </row>
    <row r="20" spans="1:2" x14ac:dyDescent="0.3">
      <c r="A20" s="6"/>
    </row>
    <row r="21" spans="1:2" x14ac:dyDescent="0.3">
      <c r="A21" s="6"/>
      <c r="B21" s="6"/>
    </row>
    <row r="22" spans="1:2" x14ac:dyDescent="0.3">
      <c r="A22" s="6"/>
      <c r="B22" s="6"/>
    </row>
  </sheetData>
  <dataValidations count="2">
    <dataValidation type="list" allowBlank="1" showInputMessage="1" showErrorMessage="1" sqref="A2" xr:uid="{B139CC36-AA95-4DE2-A816-4DFBB5CCA999}">
      <formula1>"Chirag Peswani,Vishal Narsinghani,Khushboo Peswani,Sanam Chowdhry"</formula1>
    </dataValidation>
    <dataValidation type="list" allowBlank="1" showInputMessage="1" showErrorMessage="1" sqref="B2" xr:uid="{1DEC3E50-6F86-497C-8E2B-116578439708}">
      <formula1>"#N/A"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47E3C-7288-47DE-B6B7-2856F4EF54DE}">
  <sheetPr codeName="Sheet3"/>
  <dimension ref="S1:AK10"/>
  <sheetViews>
    <sheetView tabSelected="1" zoomScale="95" workbookViewId="0">
      <selection activeCell="N23" sqref="N23"/>
    </sheetView>
  </sheetViews>
  <sheetFormatPr defaultRowHeight="14.4" x14ac:dyDescent="0.3"/>
  <cols>
    <col min="19" max="20" width="13.77734375" customWidth="1"/>
    <col min="23" max="23" width="7.6640625" bestFit="1" customWidth="1"/>
    <col min="24" max="24" width="9.21875" bestFit="1" customWidth="1"/>
    <col min="25" max="25" width="12.88671875" bestFit="1" customWidth="1"/>
    <col min="26" max="26" width="12.77734375" bestFit="1" customWidth="1"/>
    <col min="27" max="28" width="7.21875" bestFit="1" customWidth="1"/>
    <col min="30" max="30" width="7.6640625" bestFit="1" customWidth="1"/>
    <col min="31" max="31" width="9.21875" bestFit="1" customWidth="1"/>
    <col min="32" max="32" width="12.6640625" bestFit="1" customWidth="1"/>
    <col min="33" max="33" width="10.21875" bestFit="1" customWidth="1"/>
    <col min="34" max="37" width="7.21875" bestFit="1" customWidth="1"/>
  </cols>
  <sheetData>
    <row r="1" spans="19:37" x14ac:dyDescent="0.3">
      <c r="S1" s="6" t="s">
        <v>44</v>
      </c>
      <c r="T1" s="11" t="s">
        <v>42</v>
      </c>
      <c r="W1" s="9" t="s">
        <v>24</v>
      </c>
      <c r="X1" s="9" t="s">
        <v>37</v>
      </c>
      <c r="Y1" s="9" t="s">
        <v>40</v>
      </c>
      <c r="Z1" s="9" t="s">
        <v>41</v>
      </c>
      <c r="AA1" s="6" t="s">
        <v>43</v>
      </c>
      <c r="AB1" s="6" t="s">
        <v>43</v>
      </c>
      <c r="AD1" s="9" t="s">
        <v>24</v>
      </c>
      <c r="AE1" s="9" t="s">
        <v>37</v>
      </c>
      <c r="AF1" s="9" t="s">
        <v>52</v>
      </c>
      <c r="AG1" s="9" t="s">
        <v>45</v>
      </c>
      <c r="AH1" s="6" t="s">
        <v>43</v>
      </c>
      <c r="AI1" s="6" t="s">
        <v>43</v>
      </c>
      <c r="AJ1" s="6" t="s">
        <v>43</v>
      </c>
      <c r="AK1" s="6" t="s">
        <v>43</v>
      </c>
    </row>
    <row r="2" spans="19:37" x14ac:dyDescent="0.3">
      <c r="S2" s="6" t="s">
        <v>26</v>
      </c>
      <c r="T2" s="8" t="s">
        <v>54</v>
      </c>
      <c r="W2">
        <v>20</v>
      </c>
      <c r="X2" t="s">
        <v>48</v>
      </c>
      <c r="Y2">
        <v>0.42787170953911191</v>
      </c>
      <c r="Z2">
        <v>2.1006437365503268</v>
      </c>
      <c r="AA2" s="6">
        <v>0</v>
      </c>
      <c r="AB2" s="6">
        <v>0</v>
      </c>
      <c r="AD2">
        <v>20</v>
      </c>
      <c r="AE2" t="s">
        <v>48</v>
      </c>
      <c r="AF2">
        <v>0.2354</v>
      </c>
      <c r="AG2">
        <v>1.0900000000000001</v>
      </c>
      <c r="AH2" s="6">
        <v>0</v>
      </c>
      <c r="AI2" s="6">
        <v>0</v>
      </c>
      <c r="AJ2" s="6">
        <v>0</v>
      </c>
      <c r="AK2" s="6">
        <v>0</v>
      </c>
    </row>
    <row r="3" spans="19:37" x14ac:dyDescent="0.3">
      <c r="W3">
        <v>21</v>
      </c>
      <c r="X3" t="s">
        <v>49</v>
      </c>
      <c r="Y3">
        <v>0.93030342539497446</v>
      </c>
      <c r="Z3">
        <v>1.639698354009687</v>
      </c>
      <c r="AA3" s="6">
        <v>0.5</v>
      </c>
      <c r="AB3" s="6">
        <v>0.5</v>
      </c>
      <c r="AD3">
        <v>21</v>
      </c>
      <c r="AE3" t="s">
        <v>49</v>
      </c>
      <c r="AF3">
        <v>0.24266666666666667</v>
      </c>
      <c r="AG3">
        <v>0.39</v>
      </c>
      <c r="AH3" s="6">
        <f>AH2+0.13</f>
        <v>0.13</v>
      </c>
      <c r="AI3" s="6">
        <f>AH3*2</f>
        <v>0.26</v>
      </c>
      <c r="AJ3" s="6">
        <f>AJ2+0.125</f>
        <v>0.125</v>
      </c>
      <c r="AK3" s="6">
        <f>AJ3*3</f>
        <v>0.375</v>
      </c>
    </row>
    <row r="4" spans="19:37" x14ac:dyDescent="0.3">
      <c r="W4">
        <v>22</v>
      </c>
      <c r="X4" t="s">
        <v>50</v>
      </c>
      <c r="Y4">
        <v>0.69974791856904217</v>
      </c>
      <c r="Z4">
        <v>3.6193869093285618</v>
      </c>
      <c r="AA4" s="6">
        <v>1</v>
      </c>
      <c r="AB4" s="6">
        <v>1</v>
      </c>
      <c r="AD4">
        <v>22</v>
      </c>
      <c r="AE4" t="s">
        <v>50</v>
      </c>
      <c r="AF4">
        <v>0.1968</v>
      </c>
      <c r="AG4">
        <v>0.89</v>
      </c>
      <c r="AH4" s="6">
        <f t="shared" ref="AH4:AH10" si="0">AH3+0.13</f>
        <v>0.26</v>
      </c>
      <c r="AI4" s="6">
        <f t="shared" ref="AI4:AK10" si="1">AH4*2</f>
        <v>0.52</v>
      </c>
      <c r="AJ4" s="6">
        <f t="shared" ref="AJ4:AJ10" si="2">AJ3+0.125</f>
        <v>0.25</v>
      </c>
      <c r="AK4" s="6">
        <f t="shared" ref="AK4:AK10" si="3">AJ4*3</f>
        <v>0.75</v>
      </c>
    </row>
    <row r="5" spans="19:37" x14ac:dyDescent="0.3">
      <c r="W5">
        <v>23</v>
      </c>
      <c r="X5" t="s">
        <v>38</v>
      </c>
      <c r="Y5">
        <v>0.45653337795177906</v>
      </c>
      <c r="Z5">
        <v>0.93158792038305738</v>
      </c>
      <c r="AA5" s="6">
        <v>1.5</v>
      </c>
      <c r="AB5" s="6">
        <v>1.5</v>
      </c>
      <c r="AD5">
        <v>23</v>
      </c>
      <c r="AE5" t="s">
        <v>38</v>
      </c>
      <c r="AF5">
        <v>0.21124999999999999</v>
      </c>
      <c r="AG5">
        <v>0.44</v>
      </c>
      <c r="AH5" s="6">
        <f t="shared" si="0"/>
        <v>0.39</v>
      </c>
      <c r="AI5" s="6">
        <f t="shared" si="1"/>
        <v>0.78</v>
      </c>
      <c r="AJ5" s="6">
        <f t="shared" si="2"/>
        <v>0.375</v>
      </c>
      <c r="AK5" s="6">
        <f t="shared" si="3"/>
        <v>1.125</v>
      </c>
    </row>
    <row r="6" spans="19:37" x14ac:dyDescent="0.3">
      <c r="AA6" s="6">
        <v>2</v>
      </c>
      <c r="AB6" s="6">
        <v>2</v>
      </c>
      <c r="AH6" s="6">
        <f t="shared" si="0"/>
        <v>0.52</v>
      </c>
      <c r="AI6" s="6">
        <f t="shared" si="1"/>
        <v>1.04</v>
      </c>
      <c r="AJ6" s="6">
        <f t="shared" si="2"/>
        <v>0.5</v>
      </c>
      <c r="AK6" s="6">
        <f t="shared" si="3"/>
        <v>1.5</v>
      </c>
    </row>
    <row r="7" spans="19:37" x14ac:dyDescent="0.3">
      <c r="AA7" s="6">
        <v>2.5</v>
      </c>
      <c r="AB7" s="6">
        <v>2.5</v>
      </c>
      <c r="AH7" s="6">
        <f t="shared" si="0"/>
        <v>0.65</v>
      </c>
      <c r="AI7" s="6">
        <f t="shared" si="1"/>
        <v>1.3</v>
      </c>
      <c r="AJ7" s="6">
        <f t="shared" si="2"/>
        <v>0.625</v>
      </c>
      <c r="AK7" s="6">
        <f t="shared" si="3"/>
        <v>1.875</v>
      </c>
    </row>
    <row r="8" spans="19:37" x14ac:dyDescent="0.3">
      <c r="AA8" s="6">
        <v>3</v>
      </c>
      <c r="AB8" s="6">
        <v>3</v>
      </c>
      <c r="AH8" s="6">
        <f t="shared" si="0"/>
        <v>0.78</v>
      </c>
      <c r="AI8" s="6">
        <f t="shared" si="1"/>
        <v>1.56</v>
      </c>
      <c r="AJ8" s="6">
        <f t="shared" si="2"/>
        <v>0.75</v>
      </c>
      <c r="AK8" s="6">
        <f t="shared" si="3"/>
        <v>2.25</v>
      </c>
    </row>
    <row r="9" spans="19:37" x14ac:dyDescent="0.3">
      <c r="AA9" s="6">
        <v>3.5</v>
      </c>
      <c r="AB9" s="6">
        <v>3.5</v>
      </c>
      <c r="AH9" s="6">
        <f t="shared" si="0"/>
        <v>0.91</v>
      </c>
      <c r="AI9" s="6">
        <f t="shared" si="1"/>
        <v>1.82</v>
      </c>
      <c r="AJ9" s="6">
        <f t="shared" si="2"/>
        <v>0.875</v>
      </c>
      <c r="AK9" s="6">
        <f t="shared" si="3"/>
        <v>2.625</v>
      </c>
    </row>
    <row r="10" spans="19:37" x14ac:dyDescent="0.3">
      <c r="AA10" s="6">
        <v>4</v>
      </c>
      <c r="AB10" s="6">
        <v>4</v>
      </c>
      <c r="AH10" s="6">
        <f t="shared" si="0"/>
        <v>1.04</v>
      </c>
      <c r="AI10" s="6">
        <f t="shared" si="1"/>
        <v>2.08</v>
      </c>
      <c r="AJ10" s="6">
        <f t="shared" si="2"/>
        <v>1</v>
      </c>
      <c r="AK10" s="6">
        <f t="shared" si="3"/>
        <v>3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Unilysis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2020-04-26T09:12:28Z</dcterms:modified>
</cp:coreProperties>
</file>